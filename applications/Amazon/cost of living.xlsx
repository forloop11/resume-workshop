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53\OneDrive\Desktop\"/>
    </mc:Choice>
  </mc:AlternateContent>
  <xr:revisionPtr revIDLastSave="4" documentId="13_ncr:1_{152F3AAB-590A-4E3D-BE50-60299BAC9278}" xr6:coauthVersionLast="47" xr6:coauthVersionMax="47" xr10:uidLastSave="{7EFC1693-2AF8-4D54-AEC0-C866D21CFD48}"/>
  <bookViews>
    <workbookView xWindow="-120" yWindow="-120" windowWidth="29040" windowHeight="15840" xr2:uid="{82F55BC5-B134-49DE-B006-F604DCCCBCFD}"/>
  </bookViews>
  <sheets>
    <sheet name="Sheet1" sheetId="1" r:id="rId1"/>
  </sheets>
  <definedNames>
    <definedName name="solver_adj" localSheetId="0" hidden="1">Sheet1!$C$23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Sheet1!$D$23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0.282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B15" i="1"/>
  <c r="D23" i="1"/>
  <c r="B23" i="1"/>
  <c r="D20" i="1"/>
  <c r="B18" i="1" l="1"/>
  <c r="B20" i="1" s="1"/>
  <c r="C11" i="1"/>
  <c r="C8" i="1"/>
  <c r="C7" i="1"/>
  <c r="C10" i="1" s="1"/>
  <c r="B6" i="1"/>
  <c r="C6" i="1" s="1"/>
  <c r="B10" i="1"/>
  <c r="B9" i="1"/>
  <c r="C14" i="1"/>
  <c r="C13" i="1"/>
  <c r="C12" i="1"/>
  <c r="B14" i="1"/>
  <c r="B13" i="1"/>
  <c r="B12" i="1"/>
  <c r="C15" i="1" l="1"/>
  <c r="D15" i="1"/>
  <c r="D14" i="1"/>
  <c r="D13" i="1"/>
  <c r="D12" i="1"/>
</calcChain>
</file>

<file path=xl/sharedStrings.xml><?xml version="1.0" encoding="utf-8"?>
<sst xmlns="http://schemas.openxmlformats.org/spreadsheetml/2006/main" count="32" uniqueCount="28">
  <si>
    <t>Mortgage Rate</t>
  </si>
  <si>
    <t>Median Home Cost</t>
  </si>
  <si>
    <t>Cost of Living Indexes</t>
  </si>
  <si>
    <t>Maricopa, AZ</t>
  </si>
  <si>
    <t>Haverhill, MA</t>
  </si>
  <si>
    <t>Difference</t>
  </si>
  <si>
    <t>Comment</t>
  </si>
  <si>
    <t>Food &amp; Groceries</t>
  </si>
  <si>
    <t>bestplaces.net</t>
  </si>
  <si>
    <t>P&amp;I</t>
  </si>
  <si>
    <t>zillow.com</t>
  </si>
  <si>
    <t>Property Taxes</t>
  </si>
  <si>
    <t>HOA</t>
  </si>
  <si>
    <t>current home</t>
  </si>
  <si>
    <t>Total Housing Payment</t>
  </si>
  <si>
    <t>Utilities</t>
  </si>
  <si>
    <t>current home / best places</t>
  </si>
  <si>
    <t>Medical Premium</t>
  </si>
  <si>
    <t>current paystub / amazon</t>
  </si>
  <si>
    <t>Dental Premium</t>
  </si>
  <si>
    <t>Vision Premium</t>
  </si>
  <si>
    <t>TOTAL</t>
  </si>
  <si>
    <t>Base</t>
  </si>
  <si>
    <t>Bonus</t>
  </si>
  <si>
    <t>RSU</t>
  </si>
  <si>
    <t>Total Compensation (year 1)</t>
  </si>
  <si>
    <t>Proposed</t>
  </si>
  <si>
    <t>Base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</si>
</sst>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3" applyNumberFormat="1" applyFont="1"/>
    <xf numFmtId="43" fontId="0" fillId="0" borderId="0" xfId="2" applyNumberFormat="1" applyFont="1"/>
    <xf numFmtId="164" fontId="0" fillId="2" borderId="0" xfId="3" applyNumberFormat="1" applyFont="1" applyFill="1"/>
    <xf numFmtId="43" fontId="0" fillId="0" borderId="0" xfId="0" applyNumberFormat="1"/>
    <xf numFmtId="0" fontId="0" fillId="2" borderId="0" xfId="0" applyFill="1"/>
    <xf numFmtId="0" fontId="2" fillId="0" borderId="1" xfId="0" applyFont="1" applyBorder="1"/>
    <xf numFmtId="43" fontId="0" fillId="0" borderId="0" xfId="1" applyFont="1"/>
    <xf numFmtId="43" fontId="2" fillId="0" borderId="2" xfId="2" applyNumberFormat="1" applyFont="1" applyBorder="1"/>
    <xf numFmtId="43" fontId="2" fillId="0" borderId="2" xfId="0" applyNumberFormat="1" applyFont="1" applyBorder="1"/>
    <xf numFmtId="4" fontId="0" fillId="0" borderId="0" xfId="0" applyNumberFormat="1"/>
    <xf numFmtId="164" fontId="2" fillId="0" borderId="2" xfId="3" applyNumberFormat="1" applyFont="1" applyBorder="1"/>
    <xf numFmtId="164" fontId="2" fillId="2" borderId="2" xfId="3" applyNumberFormat="1" applyFont="1" applyFill="1" applyBorder="1"/>
    <xf numFmtId="0" fontId="0" fillId="0" borderId="0" xfId="0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462F31-39CD-4B43-9F8D-53F9AF94B394}">
  <we:reference id="wa104100404" version="2.0.0.0" store="en-US" storeType="OMEX"/>
  <we:alternateReferences>
    <we:reference id="WA104100404" version="2.0.0.0" store="WA104100404" storeType="OMEX"/>
  </we:alternateReferences>
  <we:properties>
    <we:property name="UniqueID" value="&quot;2021691625868654013&quot;"/>
    <we:property name="Ahcc" value="&quot;&quot;"/>
  </we:properties>
  <we:bindings>
    <we:binding id="refEdit" type="matrix" appref="{B62372C3-6DB3-4C77-8A4D-EE40375C9364}"/>
    <we:binding id="Worker" type="matrix" appref="{C861689C-FD7F-4EB1-90E9-6AE6ABA0DFC6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9997-04A4-4D16-97DB-7334E643811E}">
  <dimension ref="A1:K24"/>
  <sheetViews>
    <sheetView tabSelected="1" workbookViewId="0">
      <selection activeCell="F1" sqref="F1"/>
    </sheetView>
  </sheetViews>
  <sheetFormatPr defaultRowHeight="15"/>
  <cols>
    <col min="1" max="1" width="26.42578125" bestFit="1" customWidth="1"/>
    <col min="2" max="2" width="12.42578125" bestFit="1" customWidth="1"/>
    <col min="3" max="3" width="13.140625" bestFit="1" customWidth="1"/>
    <col min="4" max="4" width="10.42578125" bestFit="1" customWidth="1"/>
    <col min="5" max="5" width="25" bestFit="1" customWidth="1"/>
    <col min="6" max="6" width="9.5703125" bestFit="1" customWidth="1"/>
    <col min="9" max="9" width="10.7109375" bestFit="1" customWidth="1"/>
    <col min="10" max="10" width="9.7109375" bestFit="1" customWidth="1"/>
    <col min="11" max="11" width="11.85546875" bestFit="1" customWidth="1"/>
  </cols>
  <sheetData>
    <row r="1" spans="1:11">
      <c r="A1" t="s">
        <v>0</v>
      </c>
      <c r="B1" s="5">
        <v>2.25</v>
      </c>
      <c r="F1" s="13"/>
    </row>
    <row r="3" spans="1:11">
      <c r="A3" t="s">
        <v>1</v>
      </c>
      <c r="B3" s="2">
        <v>297691</v>
      </c>
      <c r="C3" s="2">
        <v>391132</v>
      </c>
      <c r="D3" s="1">
        <v>0.31388587495087195</v>
      </c>
    </row>
    <row r="4" spans="1:11">
      <c r="B4" s="2"/>
      <c r="C4" s="2"/>
      <c r="D4" s="1"/>
    </row>
    <row r="5" spans="1:1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11">
      <c r="A6" t="s">
        <v>7</v>
      </c>
      <c r="B6" s="2">
        <f>600*12</f>
        <v>7200</v>
      </c>
      <c r="C6" s="2">
        <f>B6*D6+B6</f>
        <v>7977.5700934579454</v>
      </c>
      <c r="D6" s="3">
        <v>0.10799584631360348</v>
      </c>
      <c r="E6" t="s">
        <v>8</v>
      </c>
    </row>
    <row r="7" spans="1:11">
      <c r="A7" t="s">
        <v>9</v>
      </c>
      <c r="B7" s="2"/>
      <c r="C7" s="2">
        <f>PMT(B1/12/100,360,-C3,0,1)*12</f>
        <v>17907.465399354845</v>
      </c>
      <c r="D7" s="1"/>
      <c r="E7" t="s">
        <v>10</v>
      </c>
      <c r="F7" s="4"/>
    </row>
    <row r="8" spans="1:11">
      <c r="A8" t="s">
        <v>11</v>
      </c>
      <c r="B8" s="2"/>
      <c r="C8" s="2">
        <f>411*12</f>
        <v>4932</v>
      </c>
      <c r="D8" s="1"/>
      <c r="E8" t="s">
        <v>10</v>
      </c>
      <c r="I8" s="10"/>
      <c r="K8" s="10"/>
    </row>
    <row r="9" spans="1:11">
      <c r="A9" t="s">
        <v>12</v>
      </c>
      <c r="B9" s="2">
        <f>92.25*12</f>
        <v>1107</v>
      </c>
      <c r="C9" s="2">
        <v>0</v>
      </c>
      <c r="D9" s="1"/>
      <c r="E9" t="s">
        <v>13</v>
      </c>
      <c r="I9" s="10"/>
      <c r="K9" s="10"/>
    </row>
    <row r="10" spans="1:11">
      <c r="A10" t="s">
        <v>14</v>
      </c>
      <c r="B10" s="2">
        <f>1203*12</f>
        <v>14436</v>
      </c>
      <c r="C10" s="2">
        <f>SUM(C7:C9)</f>
        <v>22839.465399354845</v>
      </c>
      <c r="D10" s="1"/>
      <c r="E10" t="s">
        <v>13</v>
      </c>
      <c r="F10" s="4"/>
      <c r="I10" s="10"/>
      <c r="K10" s="10"/>
    </row>
    <row r="11" spans="1:11">
      <c r="A11" t="s">
        <v>15</v>
      </c>
      <c r="B11" s="2">
        <v>300</v>
      </c>
      <c r="C11" s="2">
        <f>B11*(1+D11)</f>
        <v>326.39545884578996</v>
      </c>
      <c r="D11" s="3">
        <v>8.7984862819299875E-2</v>
      </c>
      <c r="E11" t="s">
        <v>16</v>
      </c>
    </row>
    <row r="12" spans="1:11">
      <c r="A12" t="s">
        <v>17</v>
      </c>
      <c r="B12" s="2">
        <f>163.07*26</f>
        <v>4239.82</v>
      </c>
      <c r="C12" s="2">
        <f>74.77*52</f>
        <v>3888.04</v>
      </c>
      <c r="D12" s="1">
        <f>(C12-B12)/B12</f>
        <v>-8.2970503464769682E-2</v>
      </c>
      <c r="E12" t="s">
        <v>18</v>
      </c>
    </row>
    <row r="13" spans="1:11">
      <c r="A13" t="s">
        <v>19</v>
      </c>
      <c r="B13" s="2">
        <f>18.39*26</f>
        <v>478.14</v>
      </c>
      <c r="C13" s="2">
        <f>7.85*52</f>
        <v>408.2</v>
      </c>
      <c r="D13" s="1">
        <f t="shared" ref="D13:D15" si="0">(C13-B13)/B13</f>
        <v>-0.14627514953779228</v>
      </c>
      <c r="E13" t="s">
        <v>18</v>
      </c>
    </row>
    <row r="14" spans="1:11" ht="15.75" thickBot="1">
      <c r="A14" t="s">
        <v>20</v>
      </c>
      <c r="B14" s="2">
        <f>6.73*26</f>
        <v>174.98000000000002</v>
      </c>
      <c r="C14" s="2">
        <f>7.38*52</f>
        <v>383.76</v>
      </c>
      <c r="D14" s="1">
        <f t="shared" si="0"/>
        <v>1.1931649331352152</v>
      </c>
      <c r="E14" t="s">
        <v>18</v>
      </c>
    </row>
    <row r="15" spans="1:11" ht="15.75" thickBot="1">
      <c r="A15" t="s">
        <v>21</v>
      </c>
      <c r="B15" s="4">
        <f>SUM(B9:B14)+B6</f>
        <v>27935.94</v>
      </c>
      <c r="C15" s="2">
        <f>SUM(C9:C14)+C6</f>
        <v>35823.430951658578</v>
      </c>
      <c r="D15" s="11">
        <f t="shared" si="0"/>
        <v>0.28234206372359688</v>
      </c>
    </row>
    <row r="16" spans="1:11">
      <c r="B16" s="2"/>
      <c r="C16" s="2"/>
      <c r="D16" s="1"/>
    </row>
    <row r="17" spans="1:4">
      <c r="A17" t="s">
        <v>22</v>
      </c>
      <c r="B17" s="2">
        <v>130257.76</v>
      </c>
      <c r="C17" s="7">
        <v>145000</v>
      </c>
      <c r="D17" s="1"/>
    </row>
    <row r="18" spans="1:4">
      <c r="A18" t="s">
        <v>23</v>
      </c>
      <c r="B18" s="2">
        <f>B17*0.2</f>
        <v>26051.552</v>
      </c>
      <c r="C18" s="7">
        <v>37000</v>
      </c>
      <c r="D18" s="1"/>
    </row>
    <row r="19" spans="1:4">
      <c r="A19" t="s">
        <v>24</v>
      </c>
      <c r="B19" s="2"/>
      <c r="C19" s="7">
        <v>7624.6470000000008</v>
      </c>
      <c r="D19" s="1"/>
    </row>
    <row r="20" spans="1:4">
      <c r="A20" t="s">
        <v>25</v>
      </c>
      <c r="B20" s="2">
        <f>SUM(B17:B18)</f>
        <v>156309.31200000001</v>
      </c>
      <c r="C20" s="2">
        <v>189624.647</v>
      </c>
      <c r="D20" s="1">
        <f>(C20-B20)/B20</f>
        <v>0.21313723778657531</v>
      </c>
    </row>
    <row r="21" spans="1:4">
      <c r="B21" s="2"/>
      <c r="C21" s="2"/>
      <c r="D21" s="1"/>
    </row>
    <row r="22" spans="1:4" ht="15.75" thickBot="1"/>
    <row r="23" spans="1:4" ht="15.75" thickBot="1">
      <c r="A23" t="s">
        <v>26</v>
      </c>
      <c r="B23" s="4">
        <f>B20</f>
        <v>156309.31200000001</v>
      </c>
      <c r="C23" s="8">
        <v>200388.53798399979</v>
      </c>
      <c r="D23" s="12">
        <f>(C23-B23)/B23</f>
        <v>0.28199999999999864</v>
      </c>
    </row>
    <row r="24" spans="1:4" ht="15.75" thickBot="1">
      <c r="A24" t="s">
        <v>27</v>
      </c>
      <c r="C24" s="9">
        <f>C23-C20</f>
        <v>10763.890983999794</v>
      </c>
    </row>
  </sheetData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B62372C3-6DB3-4C77-8A4D-EE40375C9364}">
          <xm:f>Sheet1!1:1048576</xm:f>
        </x15:webExtension>
        <x15:webExtension appRef="{C861689C-FD7F-4EB1-90E9-6AE6ABA0DFC6}">
          <xm:f>Sheet1!XFD1048553:XFD1048576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Takala, Todd</dc:creator>
  <cp:keywords/>
  <dc:description/>
  <cp:lastModifiedBy>Todd Takala</cp:lastModifiedBy>
  <cp:revision/>
  <dcterms:created xsi:type="dcterms:W3CDTF">2021-07-09T20:30:49Z</dcterms:created>
  <dcterms:modified xsi:type="dcterms:W3CDTF">2021-07-12T15:48:44Z</dcterms:modified>
  <cp:category/>
  <cp:contentStatus/>
</cp:coreProperties>
</file>