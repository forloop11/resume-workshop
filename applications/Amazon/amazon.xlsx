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8f172cf3d22347/Documents/Amazon/"/>
    </mc:Choice>
  </mc:AlternateContent>
  <xr:revisionPtr revIDLastSave="16" documentId="13_ncr:1_{E70D384F-F8A6-489C-95B8-B70C028EE51D}" xr6:coauthVersionLast="47" xr6:coauthVersionMax="47" xr10:uidLastSave="{AE18C444-85F5-4408-BFC2-E4ED5D1AD065}"/>
  <bookViews>
    <workbookView xWindow="-120" yWindow="-120" windowWidth="29040" windowHeight="15840" xr2:uid="{C781441A-B391-42DE-8E4B-8D6484C5797F}"/>
  </bookViews>
  <sheets>
    <sheet name="offer" sheetId="1" r:id="rId1"/>
    <sheet name="Sheet1" sheetId="3" r:id="rId2"/>
    <sheet name="proposed" sheetId="2" r:id="rId3"/>
  </sheets>
  <definedNames>
    <definedName name="solver_adj" localSheetId="2" hidden="1">proposed!$B$6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proposed!$E$6</definedName>
    <definedName name="solver_pre" localSheetId="2" hidden="1">0.000001</definedName>
    <definedName name="solver_rbv" localSheetId="2" hidden="1">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200388.49</definedName>
    <definedName name="solver_ver" localSheetId="2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8" i="1"/>
  <c r="H9" i="1"/>
  <c r="H6" i="1"/>
  <c r="L9" i="2"/>
  <c r="J8" i="2"/>
  <c r="I8" i="2"/>
  <c r="G6" i="2"/>
  <c r="I6" i="2" s="1"/>
  <c r="F6" i="2"/>
  <c r="B2" i="3" l="1"/>
  <c r="B8" i="3" l="1"/>
  <c r="B10" i="3"/>
  <c r="D9" i="2" l="1"/>
  <c r="D8" i="2"/>
  <c r="D7" i="2"/>
  <c r="C7" i="2"/>
  <c r="D6" i="2"/>
  <c r="C6" i="2"/>
  <c r="B7" i="2"/>
  <c r="B8" i="2" l="1"/>
  <c r="E7" i="2"/>
  <c r="F7" i="2"/>
  <c r="G7" i="2" s="1"/>
  <c r="I7" i="2" s="1"/>
  <c r="E6" i="2"/>
  <c r="D9" i="1"/>
  <c r="D8" i="1"/>
  <c r="D7" i="1"/>
  <c r="D6" i="1"/>
  <c r="E6" i="1" s="1"/>
  <c r="F6" i="1"/>
  <c r="G6" i="1" s="1"/>
  <c r="B9" i="2" l="1"/>
  <c r="F8" i="2"/>
  <c r="G8" i="2" s="1"/>
  <c r="K8" i="2" s="1"/>
  <c r="M8" i="2" s="1"/>
  <c r="E8" i="2"/>
  <c r="B7" i="1"/>
  <c r="O8" i="2" l="1"/>
  <c r="P8" i="2" s="1"/>
  <c r="N8" i="2"/>
  <c r="F9" i="2"/>
  <c r="G9" i="2" s="1"/>
  <c r="I9" i="2" s="1"/>
  <c r="E9" i="2"/>
  <c r="F7" i="1"/>
  <c r="G7" i="1" s="1"/>
  <c r="B8" i="1"/>
  <c r="E7" i="1"/>
  <c r="F8" i="1" l="1"/>
  <c r="G8" i="1" s="1"/>
  <c r="B9" i="1"/>
  <c r="E8" i="1"/>
  <c r="F9" i="1" l="1"/>
  <c r="G9" i="1" s="1"/>
  <c r="E9" i="1"/>
  <c r="B3" i="3"/>
  <c r="B4" i="3" s="1"/>
  <c r="B6" i="3" s="1"/>
  <c r="B11" i="3" s="1"/>
</calcChain>
</file>

<file path=xl/sharedStrings.xml><?xml version="1.0" encoding="utf-8"?>
<sst xmlns="http://schemas.openxmlformats.org/spreadsheetml/2006/main" count="38" uniqueCount="29">
  <si>
    <t>AMZN</t>
  </si>
  <si>
    <t>RSU Count</t>
  </si>
  <si>
    <t>Year</t>
  </si>
  <si>
    <t>Base</t>
  </si>
  <si>
    <t>Bonus</t>
  </si>
  <si>
    <t>RSU</t>
  </si>
  <si>
    <t>Total</t>
  </si>
  <si>
    <t>Bi-weekly</t>
  </si>
  <si>
    <t>Net per Pay Period</t>
  </si>
  <si>
    <t>Purchase Price</t>
  </si>
  <si>
    <t>Down Payment</t>
  </si>
  <si>
    <t>Closing cost</t>
  </si>
  <si>
    <t>Loan</t>
  </si>
  <si>
    <t>Interest Rate</t>
  </si>
  <si>
    <t>Payment</t>
  </si>
  <si>
    <t>PMI</t>
  </si>
  <si>
    <t>Property Tax</t>
  </si>
  <si>
    <t>HOA</t>
  </si>
  <si>
    <t>Home Insurance</t>
  </si>
  <si>
    <t>Monthly Housing Cost</t>
  </si>
  <si>
    <t>Net</t>
  </si>
  <si>
    <t>Current</t>
  </si>
  <si>
    <t>Monthly Increase</t>
  </si>
  <si>
    <t>Discount</t>
  </si>
  <si>
    <t>Mortgage Increase</t>
  </si>
  <si>
    <t>Mortgage</t>
  </si>
  <si>
    <t>Closing Cost</t>
  </si>
  <si>
    <t>Borrowed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</si>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</sst>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">
    <xf numFmtId="0" fontId="0" fillId="0" borderId="0" xfId="0"/>
    <xf numFmtId="4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10" fontId="0" fillId="0" borderId="0" xfId="1" applyNumberFormat="1" applyFont="1"/>
    <xf numFmtId="44" fontId="0" fillId="0" borderId="0" xfId="2" applyFont="1"/>
    <xf numFmtId="4" fontId="0" fillId="2" borderId="0" xfId="0" applyNumberFormat="1" applyFill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Compensation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offer!$A$6:$A$9</c:f>
              <c:numCache>
                <c:formatCode>m/d/yyyy</c:formatCode>
                <c:ptCount val="4"/>
                <c:pt idx="0">
                  <c:v>44774</c:v>
                </c:pt>
                <c:pt idx="1">
                  <c:v>45139</c:v>
                </c:pt>
                <c:pt idx="2">
                  <c:v>45505</c:v>
                </c:pt>
                <c:pt idx="3">
                  <c:v>45870</c:v>
                </c:pt>
              </c:numCache>
            </c:numRef>
          </c:cat>
          <c:val>
            <c:numRef>
              <c:f>offer!$E$6:$E$9</c:f>
              <c:numCache>
                <c:formatCode>#,##0.00</c:formatCode>
                <c:ptCount val="4"/>
                <c:pt idx="0">
                  <c:v>197547.44399999999</c:v>
                </c:pt>
                <c:pt idx="1">
                  <c:v>216689.77600000001</c:v>
                </c:pt>
                <c:pt idx="2">
                  <c:v>264799.21600000001</c:v>
                </c:pt>
                <c:pt idx="3">
                  <c:v>314857.93000000005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8-4C02-B0DD-54BB87B83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637760"/>
        <c:axId val="430633184"/>
      </c:lineChart>
      <c:dateAx>
        <c:axId val="43063776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633184"/>
        <c:crosses val="autoZero"/>
        <c:auto val="1"/>
        <c:lblOffset val="100"/>
        <c:baseTimeUnit val="years"/>
      </c:dateAx>
      <c:valAx>
        <c:axId val="43063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63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Compensation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proposed!$A$6:$A$9</c:f>
              <c:numCache>
                <c:formatCode>m/d/yyyy</c:formatCode>
                <c:ptCount val="4"/>
                <c:pt idx="0">
                  <c:v>44774</c:v>
                </c:pt>
                <c:pt idx="1">
                  <c:v>45139</c:v>
                </c:pt>
                <c:pt idx="2">
                  <c:v>45505</c:v>
                </c:pt>
                <c:pt idx="3">
                  <c:v>45870</c:v>
                </c:pt>
              </c:numCache>
            </c:numRef>
          </c:cat>
          <c:val>
            <c:numRef>
              <c:f>proposed!$E$6:$E$9</c:f>
              <c:numCache>
                <c:formatCode>#,##0.00</c:formatCode>
                <c:ptCount val="4"/>
                <c:pt idx="0">
                  <c:v>200958.70050000001</c:v>
                </c:pt>
                <c:pt idx="1">
                  <c:v>222596.1513</c:v>
                </c:pt>
                <c:pt idx="2">
                  <c:v>272920.01397899998</c:v>
                </c:pt>
                <c:pt idx="3">
                  <c:v>323791.21338837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B5-44B4-94E0-4FCC70224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637760"/>
        <c:axId val="430633184"/>
      </c:lineChart>
      <c:dateAx>
        <c:axId val="43063776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633184"/>
        <c:crosses val="autoZero"/>
        <c:auto val="1"/>
        <c:lblOffset val="100"/>
        <c:baseTimeUnit val="years"/>
      </c:dateAx>
      <c:valAx>
        <c:axId val="43063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63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proposed!$F$6:$F$9</c:f>
              <c:numCache>
                <c:formatCode>#,##0.00</c:formatCode>
                <c:ptCount val="4"/>
                <c:pt idx="0">
                  <c:v>7434.9734615384614</c:v>
                </c:pt>
                <c:pt idx="1">
                  <c:v>7384.5611269230767</c:v>
                </c:pt>
                <c:pt idx="2">
                  <c:v>6378.0210376538462</c:v>
                </c:pt>
                <c:pt idx="3">
                  <c:v>6569.3616687834619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B1-4258-B871-BB0CA19CF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8121520"/>
        <c:axId val="1794221392"/>
      </c:lineChart>
      <c:catAx>
        <c:axId val="1798121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221392"/>
        <c:crosses val="autoZero"/>
        <c:auto val="1"/>
        <c:lblAlgn val="ctr"/>
        <c:lblOffset val="100"/>
        <c:noMultiLvlLbl val="0"/>
      </c:catAx>
      <c:valAx>
        <c:axId val="179422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12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200025</xdr:colOff>
      <xdr:row>1</xdr:row>
      <xdr:rowOff>100012</xdr:rowOff>
    </xdr:from>
    <xdr:to>
      <xdr:col>15</xdr:col>
      <xdr:colOff>504825</xdr:colOff>
      <xdr:row>15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B4CA49-B84A-405E-8B51-AF46B62FC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447675</xdr:colOff>
      <xdr:row>11</xdr:row>
      <xdr:rowOff>176212</xdr:rowOff>
    </xdr:from>
    <xdr:to>
      <xdr:col>7</xdr:col>
      <xdr:colOff>304800</xdr:colOff>
      <xdr:row>26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2A4209-BADD-4161-8622-01AB78EF0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419100</xdr:colOff>
      <xdr:row>11</xdr:row>
      <xdr:rowOff>185737</xdr:rowOff>
    </xdr:from>
    <xdr:to>
      <xdr:col>15</xdr:col>
      <xdr:colOff>47625</xdr:colOff>
      <xdr:row>26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72914A-2E55-4399-A098-12F233CC29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25EC1-269B-4152-A2CC-74C983C2A9F3}">
  <dimension ref="A1:H9"/>
  <sheetViews>
    <sheetView tabSelected="1" workbookViewId="0">
      <selection activeCell="I20" sqref="I20"/>
    </sheetView>
  </sheetViews>
  <sheetFormatPr defaultRowHeight="15" x14ac:dyDescent="0.25"/>
  <cols>
    <col min="1" max="1" width="10.140625" bestFit="1" customWidth="1"/>
    <col min="2" max="2" width="10.28515625" bestFit="1" customWidth="1"/>
    <col min="3" max="3" width="9.28515625" bestFit="1" customWidth="1"/>
    <col min="4" max="5" width="10.140625" bestFit="1" customWidth="1"/>
    <col min="6" max="6" width="9.85546875" bestFit="1" customWidth="1"/>
    <col min="7" max="7" width="12.140625" customWidth="1"/>
  </cols>
  <sheetData>
    <row r="1" spans="1:8" x14ac:dyDescent="0.25">
      <c r="A1" t="s">
        <v>0</v>
      </c>
      <c r="B1" s="1">
        <v>3681.68</v>
      </c>
    </row>
    <row r="2" spans="1:8" x14ac:dyDescent="0.25">
      <c r="A2" t="s">
        <v>1</v>
      </c>
      <c r="B2" s="1">
        <v>41</v>
      </c>
    </row>
    <row r="3" spans="1:8" x14ac:dyDescent="0.25">
      <c r="B3" s="1"/>
    </row>
    <row r="5" spans="1:8" s="3" customFormat="1" ht="30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28</v>
      </c>
    </row>
    <row r="6" spans="1:8" x14ac:dyDescent="0.25">
      <c r="A6" s="2">
        <v>44774</v>
      </c>
      <c r="B6" s="1">
        <v>150000</v>
      </c>
      <c r="C6" s="1">
        <v>40000</v>
      </c>
      <c r="D6" s="1">
        <f>0.05*$B$2*$B$1</f>
        <v>7547.4440000000004</v>
      </c>
      <c r="E6" s="1">
        <f>SUM(B6:D6)</f>
        <v>197547.44399999999</v>
      </c>
      <c r="F6" s="1">
        <f>SUM(B6:C6)/26</f>
        <v>7307.6923076923076</v>
      </c>
      <c r="G6" s="1">
        <f>F6*0.65</f>
        <v>4750</v>
      </c>
      <c r="H6" s="1">
        <f>G6*2</f>
        <v>9500</v>
      </c>
    </row>
    <row r="7" spans="1:8" x14ac:dyDescent="0.25">
      <c r="A7" s="2">
        <v>45139</v>
      </c>
      <c r="B7" s="1">
        <f>B6*1.03</f>
        <v>154500</v>
      </c>
      <c r="C7" s="1">
        <v>32000</v>
      </c>
      <c r="D7" s="1">
        <f>0.2*$B$2*$B$1</f>
        <v>30189.776000000002</v>
      </c>
      <c r="E7" s="1">
        <f>SUM(B7:D7)</f>
        <v>216689.77600000001</v>
      </c>
      <c r="F7" s="1">
        <f t="shared" ref="F7:F9" si="0">SUM(B7:C7)/26</f>
        <v>7173.0769230769229</v>
      </c>
      <c r="G7" s="1">
        <f t="shared" ref="G7:G9" si="1">F7*0.65</f>
        <v>4662.5</v>
      </c>
      <c r="H7" s="1">
        <f t="shared" ref="H7:H9" si="2">G7*2</f>
        <v>9325</v>
      </c>
    </row>
    <row r="8" spans="1:8" x14ac:dyDescent="0.25">
      <c r="A8" s="2">
        <v>45505</v>
      </c>
      <c r="B8" s="1">
        <f>B7*1.03</f>
        <v>159135</v>
      </c>
      <c r="C8" s="1">
        <v>0</v>
      </c>
      <c r="D8" s="1">
        <f>0.7*$B$2*$B$1</f>
        <v>105664.21599999999</v>
      </c>
      <c r="E8" s="1">
        <f>SUM(B8:D8)</f>
        <v>264799.21600000001</v>
      </c>
      <c r="F8" s="1">
        <f t="shared" si="0"/>
        <v>6120.5769230769229</v>
      </c>
      <c r="G8" s="1">
        <f t="shared" si="1"/>
        <v>3978.375</v>
      </c>
      <c r="H8" s="1">
        <f t="shared" si="2"/>
        <v>7956.75</v>
      </c>
    </row>
    <row r="9" spans="1:8" x14ac:dyDescent="0.25">
      <c r="A9" s="2">
        <v>45870</v>
      </c>
      <c r="B9" s="1">
        <f>B8*1.03</f>
        <v>163909.05000000002</v>
      </c>
      <c r="C9" s="1">
        <v>0</v>
      </c>
      <c r="D9" s="1">
        <f>1*$B$2*$B$1</f>
        <v>150948.88</v>
      </c>
      <c r="E9" s="1">
        <f>SUM(B9:D9)</f>
        <v>314857.93000000005</v>
      </c>
      <c r="F9" s="1">
        <f t="shared" si="0"/>
        <v>6304.1942307692316</v>
      </c>
      <c r="G9" s="1">
        <f t="shared" si="1"/>
        <v>4097.7262500000006</v>
      </c>
      <c r="H9" s="1">
        <f t="shared" si="2"/>
        <v>8195.4525000000012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F006-B250-41C8-BAC4-8EABCDB5C560}">
  <dimension ref="A1:B11"/>
  <sheetViews>
    <sheetView workbookViewId="0">
      <selection activeCell="B6" sqref="B6"/>
    </sheetView>
  </sheetViews>
  <sheetFormatPr defaultRowHeight="15" x14ac:dyDescent="0.25"/>
  <cols>
    <col min="1" max="1" width="20.5703125" bestFit="1" customWidth="1"/>
    <col min="2" max="2" width="13.42578125" bestFit="1" customWidth="1"/>
  </cols>
  <sheetData>
    <row r="1" spans="1:2" x14ac:dyDescent="0.25">
      <c r="A1" t="s">
        <v>9</v>
      </c>
      <c r="B1" s="5">
        <v>-440000</v>
      </c>
    </row>
    <row r="2" spans="1:2" x14ac:dyDescent="0.25">
      <c r="A2" t="s">
        <v>10</v>
      </c>
      <c r="B2" s="5">
        <f>-0.05*B1</f>
        <v>22000</v>
      </c>
    </row>
    <row r="3" spans="1:2" x14ac:dyDescent="0.25">
      <c r="A3" t="s">
        <v>11</v>
      </c>
      <c r="B3" s="5">
        <f>0.06*(B1-B2)</f>
        <v>-27720</v>
      </c>
    </row>
    <row r="4" spans="1:2" x14ac:dyDescent="0.25">
      <c r="A4" t="s">
        <v>12</v>
      </c>
      <c r="B4" s="5">
        <f>SUM(B1:B3)</f>
        <v>-445720</v>
      </c>
    </row>
    <row r="5" spans="1:2" x14ac:dyDescent="0.25">
      <c r="A5" t="s">
        <v>13</v>
      </c>
      <c r="B5" s="4">
        <v>1.7500000000000002E-2</v>
      </c>
    </row>
    <row r="6" spans="1:2" x14ac:dyDescent="0.25">
      <c r="A6" t="s">
        <v>14</v>
      </c>
      <c r="B6" s="5">
        <f>PMT(B5/12,360,B4,0,1)</f>
        <v>1589.9867631318705</v>
      </c>
    </row>
    <row r="7" spans="1:2" x14ac:dyDescent="0.25">
      <c r="A7" t="s">
        <v>15</v>
      </c>
      <c r="B7" s="5">
        <v>100</v>
      </c>
    </row>
    <row r="8" spans="1:2" x14ac:dyDescent="0.25">
      <c r="A8" t="s">
        <v>16</v>
      </c>
      <c r="B8" s="5">
        <f>-0.02*0.75*B1/12</f>
        <v>550</v>
      </c>
    </row>
    <row r="9" spans="1:2" x14ac:dyDescent="0.25">
      <c r="A9" t="s">
        <v>17</v>
      </c>
      <c r="B9" s="5">
        <v>60</v>
      </c>
    </row>
    <row r="10" spans="1:2" x14ac:dyDescent="0.25">
      <c r="A10" t="s">
        <v>18</v>
      </c>
      <c r="B10" s="5">
        <f>500/12</f>
        <v>41.666666666666664</v>
      </c>
    </row>
    <row r="11" spans="1:2" x14ac:dyDescent="0.25">
      <c r="A11" t="s">
        <v>19</v>
      </c>
      <c r="B11" s="5">
        <f>SUM(B6:B10)</f>
        <v>2341.6534297985368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BEA11-378B-4679-8B20-D6EB743B8D5D}">
  <dimension ref="A1:P9"/>
  <sheetViews>
    <sheetView workbookViewId="0">
      <selection activeCell="C6" sqref="B6:C6"/>
    </sheetView>
  </sheetViews>
  <sheetFormatPr defaultRowHeight="15" x14ac:dyDescent="0.25"/>
  <cols>
    <col min="1" max="2" width="10.140625" bestFit="1" customWidth="1"/>
    <col min="3" max="3" width="9.140625" bestFit="1" customWidth="1"/>
    <col min="4" max="5" width="10.140625" bestFit="1" customWidth="1"/>
    <col min="6" max="6" width="9.85546875" bestFit="1" customWidth="1"/>
    <col min="11" max="13" width="10.140625" bestFit="1" customWidth="1"/>
    <col min="14" max="14" width="12" bestFit="1" customWidth="1"/>
    <col min="15" max="15" width="14.5703125" bestFit="1" customWidth="1"/>
    <col min="16" max="16" width="10.140625" bestFit="1" customWidth="1"/>
  </cols>
  <sheetData>
    <row r="1" spans="1:16" x14ac:dyDescent="0.25">
      <c r="A1" t="s">
        <v>0</v>
      </c>
      <c r="B1" s="1">
        <v>3731.41</v>
      </c>
    </row>
    <row r="2" spans="1:16" x14ac:dyDescent="0.25">
      <c r="A2" t="s">
        <v>1</v>
      </c>
      <c r="B2" s="1">
        <v>41</v>
      </c>
    </row>
    <row r="3" spans="1:16" x14ac:dyDescent="0.25">
      <c r="B3" s="1"/>
      <c r="O3">
        <v>1550</v>
      </c>
    </row>
    <row r="5" spans="1:16" s="3" customFormat="1" ht="30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</row>
    <row r="6" spans="1:16" x14ac:dyDescent="0.25">
      <c r="A6" s="2">
        <v>44774</v>
      </c>
      <c r="B6" s="1">
        <v>156309.31</v>
      </c>
      <c r="C6" s="1">
        <f>37000</f>
        <v>37000</v>
      </c>
      <c r="D6" s="1">
        <f>0.05*$B$2*$B$1</f>
        <v>7649.3905000000004</v>
      </c>
      <c r="E6" s="1">
        <f>SUM(B6:D6)</f>
        <v>200958.70050000001</v>
      </c>
      <c r="F6" s="1">
        <f>SUM(B6:C6)/26</f>
        <v>7434.9734615384614</v>
      </c>
      <c r="G6">
        <f>0.6*F6</f>
        <v>4460.9840769230768</v>
      </c>
      <c r="H6" s="1">
        <v>3341.17</v>
      </c>
      <c r="I6" s="1">
        <f>(G6-H6)*2</f>
        <v>2239.6281538461535</v>
      </c>
      <c r="J6" s="1"/>
    </row>
    <row r="7" spans="1:16" x14ac:dyDescent="0.25">
      <c r="A7" s="2">
        <v>45139</v>
      </c>
      <c r="B7" s="1">
        <f>B6*1.03</f>
        <v>160998.58929999999</v>
      </c>
      <c r="C7" s="1">
        <f>31000</f>
        <v>31000</v>
      </c>
      <c r="D7" s="1">
        <f>0.2*$B$2*$B$1</f>
        <v>30597.562000000002</v>
      </c>
      <c r="E7" s="1">
        <f>SUM(B7:D7)</f>
        <v>222596.1513</v>
      </c>
      <c r="F7" s="1">
        <f t="shared" ref="F7:F9" si="0">SUM(B7:C7)/26</f>
        <v>7384.5611269230767</v>
      </c>
      <c r="G7">
        <f t="shared" ref="G7:G9" si="1">0.6*F7</f>
        <v>4430.736676153846</v>
      </c>
      <c r="H7" s="1">
        <v>3341.17</v>
      </c>
      <c r="I7" s="1">
        <f t="shared" ref="I7:I9" si="2">(G7-H7)*2</f>
        <v>2179.1333523076919</v>
      </c>
      <c r="J7" s="1"/>
      <c r="M7" t="s">
        <v>25</v>
      </c>
      <c r="N7" t="s">
        <v>26</v>
      </c>
      <c r="O7" t="s">
        <v>10</v>
      </c>
      <c r="P7" t="s">
        <v>27</v>
      </c>
    </row>
    <row r="8" spans="1:16" x14ac:dyDescent="0.25">
      <c r="A8" s="2">
        <v>45505</v>
      </c>
      <c r="B8" s="1">
        <f>B7*1.03</f>
        <v>165828.54697900001</v>
      </c>
      <c r="C8" s="1">
        <v>0</v>
      </c>
      <c r="D8" s="1">
        <f>0.7*$B$2*$B$1</f>
        <v>107091.46699999999</v>
      </c>
      <c r="E8" s="1">
        <f>SUM(B8:D8)</f>
        <v>272920.01397899998</v>
      </c>
      <c r="F8" s="6">
        <f t="shared" si="0"/>
        <v>6378.0210376538462</v>
      </c>
      <c r="G8">
        <f t="shared" si="1"/>
        <v>3826.8126225923074</v>
      </c>
      <c r="H8" s="1">
        <v>3341.17</v>
      </c>
      <c r="I8" s="1">
        <f>(G8-H8)*2</f>
        <v>971.28524518461472</v>
      </c>
      <c r="J8" s="1">
        <f>I8*(1-0.282)</f>
        <v>697.3828060425534</v>
      </c>
      <c r="K8" s="1">
        <f>I8/50*10000</f>
        <v>194257.04903692295</v>
      </c>
      <c r="L8" s="1">
        <v>275275.46000000002</v>
      </c>
      <c r="M8" s="6">
        <f>SUM(K8:L8)</f>
        <v>469532.50903692294</v>
      </c>
      <c r="N8" s="1">
        <f>0.03*M8</f>
        <v>14085.975271107687</v>
      </c>
      <c r="O8" s="1">
        <f>-0.05*M8</f>
        <v>-23476.62545184615</v>
      </c>
      <c r="P8" s="1">
        <f>SUM(M8:O8)</f>
        <v>460141.85885618447</v>
      </c>
    </row>
    <row r="9" spans="1:16" x14ac:dyDescent="0.25">
      <c r="A9" s="2">
        <v>45870</v>
      </c>
      <c r="B9" s="1">
        <f>B8*1.03</f>
        <v>170803.40338837</v>
      </c>
      <c r="C9" s="1">
        <v>0</v>
      </c>
      <c r="D9" s="1">
        <f>1*$B$2*$B$1</f>
        <v>152987.81</v>
      </c>
      <c r="E9" s="1">
        <f>SUM(B9:D9)</f>
        <v>323791.21338837</v>
      </c>
      <c r="F9" s="1">
        <f t="shared" si="0"/>
        <v>6569.3616687834619</v>
      </c>
      <c r="G9">
        <f t="shared" si="1"/>
        <v>3941.6170012700768</v>
      </c>
      <c r="H9" s="1">
        <v>3341.17</v>
      </c>
      <c r="I9" s="1">
        <f t="shared" si="2"/>
        <v>1200.8940025401535</v>
      </c>
      <c r="J9" s="1"/>
      <c r="L9">
        <f>500/50*10000</f>
        <v>100000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offer</vt:lpstr>
      <vt:lpstr>Sheet1</vt:lpstr>
      <vt:lpstr>proposed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Todd Takala</dc:creator>
  <cp:keywords/>
  <dc:description/>
  <cp:lastModifiedBy>Todd Takala</cp:lastModifiedBy>
  <cp:revision/>
  <dcterms:created xsi:type="dcterms:W3CDTF">2021-07-09T00:06:21Z</dcterms:created>
  <dcterms:modified xsi:type="dcterms:W3CDTF">2021-07-15T00:26:41Z</dcterms:modified>
  <cp:category/>
  <cp:contentStatus/>
</cp:coreProperties>
</file>